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de by side" sheetId="1" state="visible" r:id="rId3"/>
    <sheet name="Agent result (raw)" sheetId="2" state="visible" r:id="rId4"/>
    <sheet name="Sources" sheetId="3" state="visible" r:id="rId5"/>
  </sheets>
  <definedNames>
    <definedName function="false" hidden="true" localSheetId="0" name="_xlnm._FilterDatabase" vbProcedure="false">'Side by side'!$A$1:$K$43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<sst xmlns="http://schemas.openxmlformats.org/spreadsheetml/2006/main" count="313" uniqueCount="158">
  <si>
    <t xml:space="preserve">Ref ID</t>
  </si>
  <si>
    <t xml:space="preserve">Region</t>
  </si>
  <si>
    <t xml:space="preserve">Reference identification (manual GPT, 2026-09-07)</t>
  </si>
  <si>
    <t xml:space="preserve">Ref units</t>
  </si>
  <si>
    <t xml:space="preserve">Ref confidence</t>
  </si>
  <si>
    <t xml:space="preserve">Agent row (gpt-5.4-mini, 2026-09-08)</t>
  </si>
  <si>
    <t xml:space="preserve">Agent facings</t>
  </si>
  <si>
    <t xml:space="preserve">Agent confidence</t>
  </si>
  <si>
    <t xml:space="preserve">Claude facings</t>
  </si>
  <si>
    <t xml:space="preserve">Claude units</t>
  </si>
  <si>
    <t xml:space="preserve">Assessment</t>
  </si>
  <si>
    <t xml:space="preserve">Upper</t>
  </si>
  <si>
    <t xml:space="preserve">Unidentified clipped cartons ending "…xia"</t>
  </si>
  <si>
    <t xml:space="preserve">Low</t>
  </si>
  <si>
    <t xml:space="preserve">—</t>
  </si>
  <si>
    <t xml:space="preserve">Missed; edge-clipped, reference itself low</t>
  </si>
  <si>
    <t xml:space="preserve">Herklin Spray Prevención, yellow</t>
  </si>
  <si>
    <t xml:space="preserve">High</t>
  </si>
  <si>
    <t xml:space="preserve">Herklin boxed hair/scalp treatment products (white/blue boxes on top shelf) — covers IDs 2, 3, 5, 6</t>
  </si>
  <si>
    <t xml:space="preserve">medium</t>
  </si>
  <si>
    <t xml:space="preserve">Variants collapsed into a colour group; 10 vs 12 units</t>
  </si>
  <si>
    <t xml:space="preserve">Herklin Gel Extra Fijación, yellow</t>
  </si>
  <si>
    <t xml:space="preserve">↑ same agent row</t>
  </si>
  <si>
    <t xml:space="preserve">Counted with ID 2 in the Claude read</t>
  </si>
  <si>
    <t xml:space="preserve">Herklin Clásico, turquoise</t>
  </si>
  <si>
    <t xml:space="preserve">Herklin green/teal boxed products (top shelf)</t>
  </si>
  <si>
    <t xml:space="preserve">Claude splits 2 turquoise + 3 blue Clásico</t>
  </si>
  <si>
    <t xml:space="preserve">Herklin Esencial, blue</t>
  </si>
  <si>
    <t xml:space="preserve">↑ ID 2 agent row</t>
  </si>
  <si>
    <t xml:space="preserve">Herklin Kit Antipiojos, purple</t>
  </si>
  <si>
    <t xml:space="preserve">Middle</t>
  </si>
  <si>
    <t xml:space="preserve">Anlett Crema para Pieles Secas</t>
  </si>
  <si>
    <t xml:space="preserve">Medium</t>
  </si>
  <si>
    <t xml:space="preserve">MISSED with a readable front; clearest omission</t>
  </si>
  <si>
    <t xml:space="preserve">Medipiox solution for lice and nits</t>
  </si>
  <si>
    <t xml:space="preserve">Medipiox blue/white boxes</t>
  </si>
  <si>
    <t xml:space="preserve">high</t>
  </si>
  <si>
    <t xml:space="preserve">Match</t>
  </si>
  <si>
    <t xml:space="preserve">Scabisan shampoo</t>
  </si>
  <si>
    <t xml:space="preserve">Scabisan shampoo box</t>
  </si>
  <si>
    <t xml:space="preserve">Coctelab Loción para Piojos</t>
  </si>
  <si>
    <t xml:space="preserve">Cocteel Lab lice lotion box</t>
  </si>
  <si>
    <t xml:space="preserve">Match; box reads "Cocteel Lab"</t>
  </si>
  <si>
    <t xml:space="preserve">Coctelab Shampoo para Piojos</t>
  </si>
  <si>
    <t xml:space="preserve">Cocteel Lab lice shampoo box</t>
  </si>
  <si>
    <t xml:space="preserve">Herbacil Champiojo anti-lice shampoo</t>
  </si>
  <si>
    <t xml:space="preserve">Herkaci shampoo box</t>
  </si>
  <si>
    <t xml:space="preserve">Count matches; BRAND MISREAD at high confidence</t>
  </si>
  <si>
    <t xml:space="preserve">Herbacil anti-lice gel (two fronts, three rear)</t>
  </si>
  <si>
    <t xml:space="preserve">Small white-capped glass bottles with dark labels (middle shelf) + uncertain entry</t>
  </si>
  <si>
    <t xml:space="preserve">low</t>
  </si>
  <si>
    <t xml:space="preserve">Identity not recovered; 4 sits between 2 facings and 5 units</t>
  </si>
  <si>
    <t xml:space="preserve">X-Termin Piojos, green/red label</t>
  </si>
  <si>
    <t xml:space="preserve">Pink 'X-Termin Piojos' bottles — covers IDs 14, 15</t>
  </si>
  <si>
    <t xml:space="preserve">Match; two designs merged, acceptable for facings</t>
  </si>
  <si>
    <t xml:space="preserve">X-Termin Piojos, red/gold label</t>
  </si>
  <si>
    <t xml:space="preserve">Counted with ID 14</t>
  </si>
  <si>
    <t xml:space="preserve">Medicasp anti-dandruff shampoo</t>
  </si>
  <si>
    <t xml:space="preserve">Medicasp green tube bottles</t>
  </si>
  <si>
    <t xml:space="preserve">Match; one more clipped at right</t>
  </si>
  <si>
    <t xml:space="preserve">Lower</t>
  </si>
  <si>
    <t xml:space="preserve">BTX-labelled hair cream or treatment</t>
  </si>
  <si>
    <t xml:space="preserve">BTX cream bottle</t>
  </si>
  <si>
    <t xml:space="preserve">Del Indio Papago Tepezcohuite, white/blue jars</t>
  </si>
  <si>
    <t xml:space="preserve">Tepezcohuite/Tepez product jars — covers IDs 18, 19</t>
  </si>
  <si>
    <t xml:space="preserve">Brand read; 5 is neither 4 facings nor 13 units</t>
  </si>
  <si>
    <t xml:space="preserve">Del Indio Papago Tepezcohuite, dark/brown jars</t>
  </si>
  <si>
    <t xml:space="preserve">Derman PS Calm cream tubs</t>
  </si>
  <si>
    <t xml:space="preserve">Blue 'Berman' hair-care bottles/jars — covers IDs 20–25 + uncertain entry</t>
  </si>
  <si>
    <t xml:space="preserve">BRAND MISREAD; category wrong (skin care); 9 = tubs only</t>
  </si>
  <si>
    <t xml:space="preserve">Derman DB Calm cream tubs</t>
  </si>
  <si>
    <t xml:space="preserve">Derman Atopi Calm cream tubs</t>
  </si>
  <si>
    <t xml:space="preserve">Derman DB Calm emulsion</t>
  </si>
  <si>
    <t xml:space="preserve">Pump bottles folded away by the agent</t>
  </si>
  <si>
    <t xml:space="preserve">Derman PS Calm emulsion</t>
  </si>
  <si>
    <t xml:space="preserve">Derman Atopi Calm emulsion</t>
  </si>
  <si>
    <t xml:space="preserve">Midai Minoxidil-line shampoo</t>
  </si>
  <si>
    <t xml:space="preserve">Midal shampoo bottles</t>
  </si>
  <si>
    <t xml:space="preserve">Match; spelling differs across all three sources</t>
  </si>
  <si>
    <t xml:space="preserve">Unidentified product at the right edge</t>
  </si>
  <si>
    <t xml:space="preserve">Abstention acceptable</t>
  </si>
  <si>
    <t xml:space="preserve">Bottom</t>
  </si>
  <si>
    <t xml:space="preserve">Unidentified dark-purple/ribbed edge product</t>
  </si>
  <si>
    <t xml:space="preserve">Unidentified pale-lavender bottle</t>
  </si>
  <si>
    <t xml:space="preserve">Gel Térmico boxed product</t>
  </si>
  <si>
    <t xml:space="preserve">MISSED, readable</t>
  </si>
  <si>
    <t xml:space="preserve">Coctelab hair-loss treatment</t>
  </si>
  <si>
    <t xml:space="preserve">Tress Fuerza y Espesor shampoo</t>
  </si>
  <si>
    <t xml:space="preserve">Ercress hair-care boxes — covers IDs 32–34</t>
  </si>
  <si>
    <t xml:space="preserve">Brand garbled (Claude reads "Adress"); one overcount</t>
  </si>
  <si>
    <t xml:space="preserve">Tress Control Caspa shampoo</t>
  </si>
  <si>
    <t xml:space="preserve">Tress Xpert Anticaída shampoo</t>
  </si>
  <si>
    <t xml:space="preserve">Tío Nacho Acondicionador Aclarante</t>
  </si>
  <si>
    <t xml:space="preserve">Tío Nacho conditioner box</t>
  </si>
  <si>
    <t xml:space="preserve">Sistema GB Shampoo 1</t>
  </si>
  <si>
    <t xml:space="preserve">Sistema GB shampoo boxes — covers IDs 36, 37</t>
  </si>
  <si>
    <t xml:space="preserve">Sistema GB Shampoo 2</t>
  </si>
  <si>
    <t xml:space="preserve">Botika Grisi Anti-Caída</t>
  </si>
  <si>
    <t xml:space="preserve">Botika Grisi anti-hair-loss box (2) + anti-hair-loss/repair box (1)</t>
  </si>
  <si>
    <t xml:space="preserve">Claude sees 2</t>
  </si>
  <si>
    <t xml:space="preserve">Botika Grisi Engrosador</t>
  </si>
  <si>
    <t xml:space="preserve">Botika Grisi thickening box (1) + anti-hair-loss/volumizing box (1)</t>
  </si>
  <si>
    <t xml:space="preserve">One short of the reference; Claude sees 2</t>
  </si>
  <si>
    <t xml:space="preserve">Cre-C Hidratación</t>
  </si>
  <si>
    <t xml:space="preserve">Cre-C hair product bottle</t>
  </si>
  <si>
    <t xml:space="preserve">Cre-C second variant, label clipped</t>
  </si>
  <si>
    <t xml:space="preserve">Clipped; not counted by Claude either</t>
  </si>
  <si>
    <t xml:space="preserve">Carton</t>
  </si>
  <si>
    <t xml:space="preserve">Unidentified black/purple tubs in open carton (excluded as stock)</t>
  </si>
  <si>
    <t xml:space="preserve">Large cardboard box of assorted items + uncertain entry</t>
  </si>
  <si>
    <t xml:space="preserve">CARDBOARD COUNTED AS A PRODUCT at high confidence; contents abstained</t>
  </si>
  <si>
    <t xml:space="preserve">Totals</t>
  </si>
  <si>
    <t xml:space="preserve">Reference counts inclusive visible units; the agent and Claude count front facings (Claude units adds stacked jars). Not comparable as an accuracy ratio.</t>
  </si>
  <si>
    <t xml:space="preserve">Distinct rows</t>
  </si>
  <si>
    <t xml:space="preserve">Reference groups vs agent rows carrying a count (the agent returned 23 rows; Botika is 4 rows mapped onto 2 reference groups).</t>
  </si>
  <si>
    <t xml:space="preserve">File</t>
  </si>
  <si>
    <t xml:space="preserve">vista-benachmark-1-original.jpeg</t>
  </si>
  <si>
    <t xml:space="preserve">Status</t>
  </si>
  <si>
    <t xml:space="preserve">Analysed</t>
  </si>
  <si>
    <t xml:space="preserve">Runs</t>
  </si>
  <si>
    <t xml:space="preserve">1 (no note — initial)</t>
  </si>
  <si>
    <t xml:space="preserve">Size</t>
  </si>
  <si>
    <t xml:space="preserve">654 kB</t>
  </si>
  <si>
    <t xml:space="preserve">Model</t>
  </si>
  <si>
    <t xml:space="preserve">gpt-5.4-mini</t>
  </si>
  <si>
    <t xml:space="preserve">Timestamp</t>
  </si>
  <si>
    <t xml:space="preserve">2026-09-08 13:22:14</t>
  </si>
  <si>
    <t xml:space="preserve">Dimensions</t>
  </si>
  <si>
    <t xml:space="preserve">1152 × 1536</t>
  </si>
  <si>
    <t xml:space="preserve">Summary</t>
  </si>
  <si>
    <t xml:space="preserve">Visible shelves show a mix of hair/scalp treatment products, shampoos, conditioners, creams, and some boxed hair-care items. Counts below reflect only clearly visible front-facing units.</t>
  </si>
  <si>
    <t xml:space="preserve">Product</t>
  </si>
  <si>
    <t xml:space="preserve">Facings</t>
  </si>
  <si>
    <t xml:space="preserve">Confidence</t>
  </si>
  <si>
    <t xml:space="preserve">Herklin boxed hair/scalp treatment products (white/blue boxes on top shelf)</t>
  </si>
  <si>
    <t xml:space="preserve">Pink 'X-Termin Piojos' bottles</t>
  </si>
  <si>
    <t xml:space="preserve">Small white-capped glass bottles with dark labels (middle shelf)</t>
  </si>
  <si>
    <t xml:space="preserve">Blue 'Berman' hair-care bottles/jars</t>
  </si>
  <si>
    <t xml:space="preserve">Tepezcohuite/Tepez product jars</t>
  </si>
  <si>
    <t xml:space="preserve">Ercress hair-care boxes</t>
  </si>
  <si>
    <t xml:space="preserve">Sistema GB shampoo boxes</t>
  </si>
  <si>
    <t xml:space="preserve">Botika Grisi anti-hair-loss box</t>
  </si>
  <si>
    <t xml:space="preserve">Botika Grisi thickening box</t>
  </si>
  <si>
    <t xml:space="preserve">Botika Grisi anti-hair-loss/volumizing box</t>
  </si>
  <si>
    <t xml:space="preserve">Botika Grisi anti-hair-loss/repair box</t>
  </si>
  <si>
    <t xml:space="preserve">Large cardboard box of assorted items</t>
  </si>
  <si>
    <t xml:space="preserve">Total facings</t>
  </si>
  <si>
    <t xml:space="preserve">Rows</t>
  </si>
  <si>
    <t xml:space="preserve">3 items the model could not identify</t>
  </si>
  <si>
    <t xml:space="preserve">Dark bottle partially visible inside the open cardboard box at bottom right — Only part of the can/bottle is visible; brand and product type cannot be read clearly.</t>
  </si>
  <si>
    <t xml:space="preserve">Small white-capped bottles near the center-left middle shelf — Several similar containers overlap and labels are too small/blurry to identify as distinct products with certainty.</t>
  </si>
  <si>
    <t xml:space="preserve">Blue Berman items — Multiple similarly colored bottles/jars are visible, but some labels are partially obscured; count is an estimate of visible front-facing units only.</t>
  </si>
  <si>
    <t xml:space="preserve">Reference: docs/04-…/use-cases/uc-02-dense-pharmacy-shelf/02-register-upper-middle.md and 03-register-lower-bottom.md (manual GPT run, 2026-09-07). Not human-verified ground truth.</t>
  </si>
  <si>
    <t xml:space="preserve">Agent: result page text pasted by Pablo, 2026-09-08, TEST project aishop-99d36, run 1 on vista-benachmark-1-original.jpeg, gpt-5.4-mini.</t>
  </si>
  <si>
    <t xml:space="preserve">Claude: 06-independent-visual-read.md, same 1152 × 1536 original read at crop level, 2026-09-08. A model output, not ground truth.</t>
  </si>
  <si>
    <t xml:space="preserve">Reference 'units' are inclusive visible units (partial and rear included). Agent and Claude count front facings per the areaScan contract. Claude units adds stacked jars behind a facing.</t>
  </si>
  <si>
    <t xml:space="preserve">Agent facings appear once per agent row, on the first reference ID it covers; '↑ same agent row' rows carry no agent count so the total is not double-counted.</t>
  </si>
  <si>
    <t xml:space="preserve">Assessment column: uppercase flags mark the findings that are errors rather than counting-policy differences.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</si>
</sst>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D6B4B"/>
        <bgColor rgb="FF008080"/>
      </patternFill>
    </fill>
    <fill>
      <patternFill patternType="solid">
        <fgColor rgb="FFEAF2EE"/>
        <bgColor rgb="FFEEF0F7"/>
      </patternFill>
    </fill>
    <fill>
      <patternFill patternType="solid">
        <fgColor rgb="FFEEF0F7"/>
        <bgColor rgb="FFEAF2EE"/>
      </patternFill>
    </fill>
    <fill>
      <patternFill patternType="solid">
        <fgColor rgb="FFFBF4E4"/>
        <bgColor rgb="FFEEF0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2D4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D6B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2EE"/>
          <bgColor rgb="FF000000"/>
        </patternFill>
      </fill>
    </dxf>
    <dxf>
      <fill>
        <patternFill patternType="solid">
          <fgColor rgb="FFEEF0F7"/>
          <bgColor rgb="FF000000"/>
        </patternFill>
      </fill>
    </dxf>
    <dxf>
      <fill>
        <patternFill patternType="solid">
          <fgColor rgb="FFFBF4E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B4B"/>
      <rgbColor rgb="FFC0C0C0"/>
      <rgbColor rgb="FF808080"/>
      <rgbColor rgb="FF9999FF"/>
      <rgbColor rgb="FF993366"/>
      <rgbColor rgb="FFFBF4E4"/>
      <rgbColor rgb="FFEAF2EE"/>
      <rgbColor rgb="FF660066"/>
      <rgbColor rgb="FFFF8080"/>
      <rgbColor rgb="FF0066CC"/>
      <rgbColor rgb="FFD2D4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0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50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52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3" t="s">
        <v>12</v>
      </c>
      <c r="D2" s="4" t="n">
        <v>2</v>
      </c>
      <c r="E2" s="4" t="s">
        <v>13</v>
      </c>
      <c r="F2" s="5" t="s">
        <v>14</v>
      </c>
      <c r="G2" s="6"/>
      <c r="H2" s="6"/>
      <c r="I2" s="7" t="n">
        <v>1</v>
      </c>
      <c r="J2" s="7" t="n">
        <v>1</v>
      </c>
      <c r="K2" s="8" t="s">
        <v>15</v>
      </c>
    </row>
    <row r="3" customFormat="false" ht="23.85" hidden="false" customHeight="false" outlineLevel="0" collapsed="false">
      <c r="A3" s="2" t="n">
        <v>2</v>
      </c>
      <c r="B3" s="2" t="s">
        <v>11</v>
      </c>
      <c r="C3" s="3" t="s">
        <v>16</v>
      </c>
      <c r="D3" s="4" t="n">
        <v>3</v>
      </c>
      <c r="E3" s="4" t="s">
        <v>17</v>
      </c>
      <c r="F3" s="5" t="s">
        <v>18</v>
      </c>
      <c r="G3" s="6" t="n">
        <v>10</v>
      </c>
      <c r="H3" s="6" t="s">
        <v>19</v>
      </c>
      <c r="I3" s="7" t="n">
        <v>4</v>
      </c>
      <c r="J3" s="7" t="n">
        <v>4</v>
      </c>
      <c r="K3" s="8" t="s">
        <v>20</v>
      </c>
    </row>
    <row r="4" customFormat="false" ht="15" hidden="false" customHeight="false" outlineLevel="0" collapsed="false">
      <c r="A4" s="2" t="n">
        <v>3</v>
      </c>
      <c r="B4" s="2" t="s">
        <v>11</v>
      </c>
      <c r="C4" s="3" t="s">
        <v>21</v>
      </c>
      <c r="D4" s="4" t="n">
        <v>2</v>
      </c>
      <c r="E4" s="4" t="s">
        <v>17</v>
      </c>
      <c r="F4" s="5" t="s">
        <v>22</v>
      </c>
      <c r="G4" s="6"/>
      <c r="H4" s="6"/>
      <c r="I4" s="7" t="n">
        <v>0</v>
      </c>
      <c r="J4" s="7" t="n">
        <v>0</v>
      </c>
      <c r="K4" s="8" t="s">
        <v>23</v>
      </c>
    </row>
    <row r="5" customFormat="false" ht="15" hidden="false" customHeight="false" outlineLevel="0" collapsed="false">
      <c r="A5" s="2" t="n">
        <v>4</v>
      </c>
      <c r="B5" s="2" t="s">
        <v>11</v>
      </c>
      <c r="C5" s="3" t="s">
        <v>24</v>
      </c>
      <c r="D5" s="4" t="n">
        <v>6</v>
      </c>
      <c r="E5" s="4" t="s">
        <v>17</v>
      </c>
      <c r="F5" s="5" t="s">
        <v>25</v>
      </c>
      <c r="G5" s="6" t="n">
        <v>4</v>
      </c>
      <c r="H5" s="6" t="s">
        <v>19</v>
      </c>
      <c r="I5" s="7" t="n">
        <v>5</v>
      </c>
      <c r="J5" s="7" t="n">
        <v>5</v>
      </c>
      <c r="K5" s="8" t="s">
        <v>26</v>
      </c>
    </row>
    <row r="6" customFormat="false" ht="15" hidden="false" customHeight="false" outlineLevel="0" collapsed="false">
      <c r="A6" s="2" t="n">
        <v>5</v>
      </c>
      <c r="B6" s="2" t="s">
        <v>11</v>
      </c>
      <c r="C6" s="3" t="s">
        <v>27</v>
      </c>
      <c r="D6" s="4" t="n">
        <v>5</v>
      </c>
      <c r="E6" s="4" t="s">
        <v>17</v>
      </c>
      <c r="F6" s="5" t="s">
        <v>28</v>
      </c>
      <c r="G6" s="6"/>
      <c r="H6" s="6"/>
      <c r="I6" s="7" t="n">
        <v>4</v>
      </c>
      <c r="J6" s="7" t="n">
        <v>4</v>
      </c>
      <c r="K6" s="8"/>
    </row>
    <row r="7" customFormat="false" ht="15" hidden="false" customHeight="false" outlineLevel="0" collapsed="false">
      <c r="A7" s="2" t="n">
        <v>6</v>
      </c>
      <c r="B7" s="2" t="s">
        <v>11</v>
      </c>
      <c r="C7" s="3" t="s">
        <v>29</v>
      </c>
      <c r="D7" s="4" t="n">
        <v>2</v>
      </c>
      <c r="E7" s="4" t="s">
        <v>17</v>
      </c>
      <c r="F7" s="5" t="s">
        <v>28</v>
      </c>
      <c r="G7" s="6"/>
      <c r="H7" s="6"/>
      <c r="I7" s="7" t="n">
        <v>2</v>
      </c>
      <c r="J7" s="7" t="n">
        <v>2</v>
      </c>
      <c r="K7" s="8"/>
    </row>
    <row r="8" customFormat="false" ht="15" hidden="false" customHeight="false" outlineLevel="0" collapsed="false">
      <c r="A8" s="2" t="n">
        <v>7</v>
      </c>
      <c r="B8" s="2" t="s">
        <v>30</v>
      </c>
      <c r="C8" s="3" t="s">
        <v>31</v>
      </c>
      <c r="D8" s="4" t="n">
        <v>4</v>
      </c>
      <c r="E8" s="4" t="s">
        <v>32</v>
      </c>
      <c r="F8" s="5" t="s">
        <v>14</v>
      </c>
      <c r="G8" s="6"/>
      <c r="H8" s="6"/>
      <c r="I8" s="7" t="n">
        <v>1</v>
      </c>
      <c r="J8" s="7" t="n">
        <v>1</v>
      </c>
      <c r="K8" s="8" t="s">
        <v>33</v>
      </c>
    </row>
    <row r="9" customFormat="false" ht="15" hidden="false" customHeight="false" outlineLevel="0" collapsed="false">
      <c r="A9" s="2" t="n">
        <v>8</v>
      </c>
      <c r="B9" s="2" t="s">
        <v>30</v>
      </c>
      <c r="C9" s="3" t="s">
        <v>34</v>
      </c>
      <c r="D9" s="4" t="n">
        <v>1</v>
      </c>
      <c r="E9" s="4" t="s">
        <v>17</v>
      </c>
      <c r="F9" s="5" t="s">
        <v>35</v>
      </c>
      <c r="G9" s="6" t="n">
        <v>1</v>
      </c>
      <c r="H9" s="6" t="s">
        <v>36</v>
      </c>
      <c r="I9" s="7" t="n">
        <v>1</v>
      </c>
      <c r="J9" s="7" t="n">
        <v>1</v>
      </c>
      <c r="K9" s="8" t="s">
        <v>37</v>
      </c>
    </row>
    <row r="10" customFormat="false" ht="15" hidden="false" customHeight="false" outlineLevel="0" collapsed="false">
      <c r="A10" s="2" t="n">
        <v>9</v>
      </c>
      <c r="B10" s="2" t="s">
        <v>30</v>
      </c>
      <c r="C10" s="3" t="s">
        <v>38</v>
      </c>
      <c r="D10" s="4" t="n">
        <v>1</v>
      </c>
      <c r="E10" s="4" t="s">
        <v>17</v>
      </c>
      <c r="F10" s="5" t="s">
        <v>39</v>
      </c>
      <c r="G10" s="6" t="n">
        <v>1</v>
      </c>
      <c r="H10" s="6" t="s">
        <v>36</v>
      </c>
      <c r="I10" s="7" t="n">
        <v>1</v>
      </c>
      <c r="J10" s="7" t="n">
        <v>1</v>
      </c>
      <c r="K10" s="8" t="s">
        <v>37</v>
      </c>
    </row>
    <row r="11" customFormat="false" ht="15" hidden="false" customHeight="false" outlineLevel="0" collapsed="false">
      <c r="A11" s="2" t="n">
        <v>10</v>
      </c>
      <c r="B11" s="2" t="s">
        <v>30</v>
      </c>
      <c r="C11" s="3" t="s">
        <v>40</v>
      </c>
      <c r="D11" s="4" t="n">
        <v>1</v>
      </c>
      <c r="E11" s="4" t="s">
        <v>17</v>
      </c>
      <c r="F11" s="5" t="s">
        <v>41</v>
      </c>
      <c r="G11" s="6" t="n">
        <v>1</v>
      </c>
      <c r="H11" s="6" t="s">
        <v>36</v>
      </c>
      <c r="I11" s="7" t="n">
        <v>1</v>
      </c>
      <c r="J11" s="7" t="n">
        <v>1</v>
      </c>
      <c r="K11" s="8" t="s">
        <v>42</v>
      </c>
    </row>
    <row r="12" customFormat="false" ht="15" hidden="false" customHeight="false" outlineLevel="0" collapsed="false">
      <c r="A12" s="2" t="n">
        <v>11</v>
      </c>
      <c r="B12" s="2" t="s">
        <v>30</v>
      </c>
      <c r="C12" s="3" t="s">
        <v>43</v>
      </c>
      <c r="D12" s="4" t="n">
        <v>1</v>
      </c>
      <c r="E12" s="4" t="s">
        <v>17</v>
      </c>
      <c r="F12" s="5" t="s">
        <v>44</v>
      </c>
      <c r="G12" s="6" t="n">
        <v>1</v>
      </c>
      <c r="H12" s="6" t="s">
        <v>36</v>
      </c>
      <c r="I12" s="7" t="n">
        <v>1</v>
      </c>
      <c r="J12" s="7" t="n">
        <v>1</v>
      </c>
      <c r="K12" s="8" t="s">
        <v>37</v>
      </c>
    </row>
    <row r="13" customFormat="false" ht="15" hidden="false" customHeight="false" outlineLevel="0" collapsed="false">
      <c r="A13" s="2" t="n">
        <v>12</v>
      </c>
      <c r="B13" s="2" t="s">
        <v>30</v>
      </c>
      <c r="C13" s="3" t="s">
        <v>45</v>
      </c>
      <c r="D13" s="4" t="n">
        <v>1</v>
      </c>
      <c r="E13" s="4" t="s">
        <v>32</v>
      </c>
      <c r="F13" s="5" t="s">
        <v>46</v>
      </c>
      <c r="G13" s="6" t="n">
        <v>1</v>
      </c>
      <c r="H13" s="6" t="s">
        <v>36</v>
      </c>
      <c r="I13" s="7" t="n">
        <v>1</v>
      </c>
      <c r="J13" s="7" t="n">
        <v>1</v>
      </c>
      <c r="K13" s="8" t="s">
        <v>47</v>
      </c>
    </row>
    <row r="14" customFormat="false" ht="23.85" hidden="false" customHeight="false" outlineLevel="0" collapsed="false">
      <c r="A14" s="2" t="n">
        <v>13</v>
      </c>
      <c r="B14" s="2" t="s">
        <v>30</v>
      </c>
      <c r="C14" s="3" t="s">
        <v>48</v>
      </c>
      <c r="D14" s="4" t="n">
        <v>5</v>
      </c>
      <c r="E14" s="4" t="s">
        <v>17</v>
      </c>
      <c r="F14" s="5" t="s">
        <v>49</v>
      </c>
      <c r="G14" s="6" t="n">
        <v>4</v>
      </c>
      <c r="H14" s="6" t="s">
        <v>50</v>
      </c>
      <c r="I14" s="7" t="n">
        <v>2</v>
      </c>
      <c r="J14" s="7" t="n">
        <v>2</v>
      </c>
      <c r="K14" s="8" t="s">
        <v>51</v>
      </c>
    </row>
    <row r="15" customFormat="false" ht="15" hidden="false" customHeight="false" outlineLevel="0" collapsed="false">
      <c r="A15" s="2" t="n">
        <v>14</v>
      </c>
      <c r="B15" s="2" t="s">
        <v>30</v>
      </c>
      <c r="C15" s="3" t="s">
        <v>52</v>
      </c>
      <c r="D15" s="4" t="n">
        <v>2</v>
      </c>
      <c r="E15" s="4" t="s">
        <v>17</v>
      </c>
      <c r="F15" s="5" t="s">
        <v>53</v>
      </c>
      <c r="G15" s="6" t="n">
        <v>4</v>
      </c>
      <c r="H15" s="6" t="s">
        <v>36</v>
      </c>
      <c r="I15" s="7" t="n">
        <v>4</v>
      </c>
      <c r="J15" s="7" t="n">
        <v>4</v>
      </c>
      <c r="K15" s="8" t="s">
        <v>54</v>
      </c>
    </row>
    <row r="16" customFormat="false" ht="15" hidden="false" customHeight="false" outlineLevel="0" collapsed="false">
      <c r="A16" s="2" t="n">
        <v>15</v>
      </c>
      <c r="B16" s="2" t="s">
        <v>30</v>
      </c>
      <c r="C16" s="3" t="s">
        <v>55</v>
      </c>
      <c r="D16" s="4" t="n">
        <v>2</v>
      </c>
      <c r="E16" s="4" t="s">
        <v>17</v>
      </c>
      <c r="F16" s="5" t="s">
        <v>22</v>
      </c>
      <c r="G16" s="6"/>
      <c r="H16" s="6"/>
      <c r="I16" s="7" t="n">
        <v>0</v>
      </c>
      <c r="J16" s="7" t="n">
        <v>0</v>
      </c>
      <c r="K16" s="8" t="s">
        <v>56</v>
      </c>
    </row>
    <row r="17" customFormat="false" ht="15" hidden="false" customHeight="false" outlineLevel="0" collapsed="false">
      <c r="A17" s="2" t="n">
        <v>16</v>
      </c>
      <c r="B17" s="2" t="s">
        <v>30</v>
      </c>
      <c r="C17" s="3" t="s">
        <v>57</v>
      </c>
      <c r="D17" s="4" t="n">
        <v>3</v>
      </c>
      <c r="E17" s="4" t="s">
        <v>17</v>
      </c>
      <c r="F17" s="5" t="s">
        <v>58</v>
      </c>
      <c r="G17" s="6" t="n">
        <v>3</v>
      </c>
      <c r="H17" s="6" t="s">
        <v>36</v>
      </c>
      <c r="I17" s="7" t="n">
        <v>3</v>
      </c>
      <c r="J17" s="7" t="n">
        <v>3</v>
      </c>
      <c r="K17" s="8" t="s">
        <v>59</v>
      </c>
    </row>
    <row r="18" customFormat="false" ht="15" hidden="false" customHeight="false" outlineLevel="0" collapsed="false">
      <c r="A18" s="2" t="n">
        <v>17</v>
      </c>
      <c r="B18" s="2" t="s">
        <v>60</v>
      </c>
      <c r="C18" s="3" t="s">
        <v>61</v>
      </c>
      <c r="D18" s="4" t="n">
        <v>2</v>
      </c>
      <c r="E18" s="4" t="s">
        <v>32</v>
      </c>
      <c r="F18" s="5" t="s">
        <v>62</v>
      </c>
      <c r="G18" s="6" t="n">
        <v>2</v>
      </c>
      <c r="H18" s="6" t="s">
        <v>19</v>
      </c>
      <c r="I18" s="7" t="n">
        <v>1</v>
      </c>
      <c r="J18" s="7" t="n">
        <v>2</v>
      </c>
      <c r="K18" s="8" t="s">
        <v>37</v>
      </c>
    </row>
    <row r="19" customFormat="false" ht="15" hidden="false" customHeight="false" outlineLevel="0" collapsed="false">
      <c r="A19" s="2" t="n">
        <v>18</v>
      </c>
      <c r="B19" s="2" t="s">
        <v>60</v>
      </c>
      <c r="C19" s="3" t="s">
        <v>63</v>
      </c>
      <c r="D19" s="4" t="n">
        <v>7</v>
      </c>
      <c r="E19" s="4" t="s">
        <v>32</v>
      </c>
      <c r="F19" s="5" t="s">
        <v>64</v>
      </c>
      <c r="G19" s="6" t="n">
        <v>5</v>
      </c>
      <c r="H19" s="6" t="s">
        <v>19</v>
      </c>
      <c r="I19" s="7" t="n">
        <v>2</v>
      </c>
      <c r="J19" s="7" t="n">
        <v>6</v>
      </c>
      <c r="K19" s="8" t="s">
        <v>65</v>
      </c>
    </row>
    <row r="20" customFormat="false" ht="15" hidden="false" customHeight="false" outlineLevel="0" collapsed="false">
      <c r="A20" s="2" t="n">
        <v>19</v>
      </c>
      <c r="B20" s="2" t="s">
        <v>60</v>
      </c>
      <c r="C20" s="3" t="s">
        <v>66</v>
      </c>
      <c r="D20" s="4" t="n">
        <v>6</v>
      </c>
      <c r="E20" s="4" t="s">
        <v>32</v>
      </c>
      <c r="F20" s="5" t="s">
        <v>22</v>
      </c>
      <c r="G20" s="6"/>
      <c r="H20" s="6"/>
      <c r="I20" s="7" t="n">
        <v>2</v>
      </c>
      <c r="J20" s="7" t="n">
        <v>6</v>
      </c>
      <c r="K20" s="8"/>
    </row>
    <row r="21" customFormat="false" ht="23.85" hidden="false" customHeight="false" outlineLevel="0" collapsed="false">
      <c r="A21" s="2" t="n">
        <v>20</v>
      </c>
      <c r="B21" s="2" t="s">
        <v>60</v>
      </c>
      <c r="C21" s="3" t="s">
        <v>67</v>
      </c>
      <c r="D21" s="4" t="n">
        <v>3</v>
      </c>
      <c r="E21" s="4" t="s">
        <v>17</v>
      </c>
      <c r="F21" s="5" t="s">
        <v>68</v>
      </c>
      <c r="G21" s="6" t="n">
        <v>9</v>
      </c>
      <c r="H21" s="6" t="s">
        <v>19</v>
      </c>
      <c r="I21" s="7" t="n">
        <v>1</v>
      </c>
      <c r="J21" s="7" t="n">
        <v>3</v>
      </c>
      <c r="K21" s="8" t="s">
        <v>69</v>
      </c>
    </row>
    <row r="22" customFormat="false" ht="15" hidden="false" customHeight="false" outlineLevel="0" collapsed="false">
      <c r="A22" s="2" t="n">
        <v>21</v>
      </c>
      <c r="B22" s="2" t="s">
        <v>60</v>
      </c>
      <c r="C22" s="3" t="s">
        <v>70</v>
      </c>
      <c r="D22" s="4" t="n">
        <v>3</v>
      </c>
      <c r="E22" s="4" t="s">
        <v>17</v>
      </c>
      <c r="F22" s="5" t="s">
        <v>22</v>
      </c>
      <c r="G22" s="6"/>
      <c r="H22" s="6"/>
      <c r="I22" s="7" t="n">
        <v>1</v>
      </c>
      <c r="J22" s="7" t="n">
        <v>3</v>
      </c>
      <c r="K22" s="8"/>
    </row>
    <row r="23" customFormat="false" ht="15" hidden="false" customHeight="false" outlineLevel="0" collapsed="false">
      <c r="A23" s="2" t="n">
        <v>22</v>
      </c>
      <c r="B23" s="2" t="s">
        <v>60</v>
      </c>
      <c r="C23" s="3" t="s">
        <v>71</v>
      </c>
      <c r="D23" s="4" t="n">
        <v>3</v>
      </c>
      <c r="E23" s="4" t="s">
        <v>17</v>
      </c>
      <c r="F23" s="5" t="s">
        <v>22</v>
      </c>
      <c r="G23" s="6"/>
      <c r="H23" s="6"/>
      <c r="I23" s="7" t="n">
        <v>1</v>
      </c>
      <c r="J23" s="7" t="n">
        <v>3</v>
      </c>
      <c r="K23" s="8"/>
    </row>
    <row r="24" customFormat="false" ht="15" hidden="false" customHeight="false" outlineLevel="0" collapsed="false">
      <c r="A24" s="2" t="n">
        <v>23</v>
      </c>
      <c r="B24" s="2" t="s">
        <v>60</v>
      </c>
      <c r="C24" s="3" t="s">
        <v>72</v>
      </c>
      <c r="D24" s="4" t="n">
        <v>1</v>
      </c>
      <c r="E24" s="4" t="s">
        <v>17</v>
      </c>
      <c r="F24" s="5" t="s">
        <v>22</v>
      </c>
      <c r="G24" s="6"/>
      <c r="H24" s="6"/>
      <c r="I24" s="7" t="n">
        <v>1</v>
      </c>
      <c r="J24" s="7" t="n">
        <v>1</v>
      </c>
      <c r="K24" s="8" t="s">
        <v>73</v>
      </c>
    </row>
    <row r="25" customFormat="false" ht="15" hidden="false" customHeight="false" outlineLevel="0" collapsed="false">
      <c r="A25" s="2" t="n">
        <v>24</v>
      </c>
      <c r="B25" s="2" t="s">
        <v>60</v>
      </c>
      <c r="C25" s="3" t="s">
        <v>74</v>
      </c>
      <c r="D25" s="4" t="n">
        <v>1</v>
      </c>
      <c r="E25" s="4" t="s">
        <v>17</v>
      </c>
      <c r="F25" s="5" t="s">
        <v>22</v>
      </c>
      <c r="G25" s="6"/>
      <c r="H25" s="6"/>
      <c r="I25" s="7" t="n">
        <v>1</v>
      </c>
      <c r="J25" s="7" t="n">
        <v>1</v>
      </c>
      <c r="K25" s="8"/>
    </row>
    <row r="26" customFormat="false" ht="15" hidden="false" customHeight="false" outlineLevel="0" collapsed="false">
      <c r="A26" s="2" t="n">
        <v>25</v>
      </c>
      <c r="B26" s="2" t="s">
        <v>60</v>
      </c>
      <c r="C26" s="3" t="s">
        <v>75</v>
      </c>
      <c r="D26" s="4" t="n">
        <v>1</v>
      </c>
      <c r="E26" s="4" t="s">
        <v>17</v>
      </c>
      <c r="F26" s="5" t="s">
        <v>22</v>
      </c>
      <c r="G26" s="6"/>
      <c r="H26" s="6"/>
      <c r="I26" s="7" t="n">
        <v>1</v>
      </c>
      <c r="J26" s="7" t="n">
        <v>1</v>
      </c>
      <c r="K26" s="8"/>
    </row>
    <row r="27" customFormat="false" ht="15" hidden="false" customHeight="false" outlineLevel="0" collapsed="false">
      <c r="A27" s="2" t="n">
        <v>26</v>
      </c>
      <c r="B27" s="2" t="s">
        <v>60</v>
      </c>
      <c r="C27" s="3" t="s">
        <v>76</v>
      </c>
      <c r="D27" s="4" t="n">
        <v>2</v>
      </c>
      <c r="E27" s="4" t="s">
        <v>32</v>
      </c>
      <c r="F27" s="5" t="s">
        <v>77</v>
      </c>
      <c r="G27" s="6" t="n">
        <v>2</v>
      </c>
      <c r="H27" s="6" t="s">
        <v>36</v>
      </c>
      <c r="I27" s="7" t="n">
        <v>2</v>
      </c>
      <c r="J27" s="7" t="n">
        <v>2</v>
      </c>
      <c r="K27" s="8" t="s">
        <v>78</v>
      </c>
    </row>
    <row r="28" customFormat="false" ht="15" hidden="false" customHeight="false" outlineLevel="0" collapsed="false">
      <c r="A28" s="2" t="n">
        <v>27</v>
      </c>
      <c r="B28" s="2" t="s">
        <v>60</v>
      </c>
      <c r="C28" s="3" t="s">
        <v>79</v>
      </c>
      <c r="D28" s="4" t="n">
        <v>1</v>
      </c>
      <c r="E28" s="4" t="s">
        <v>13</v>
      </c>
      <c r="F28" s="5" t="s">
        <v>14</v>
      </c>
      <c r="G28" s="6"/>
      <c r="H28" s="6"/>
      <c r="I28" s="7" t="n">
        <v>0</v>
      </c>
      <c r="J28" s="7" t="n">
        <v>0</v>
      </c>
      <c r="K28" s="8" t="s">
        <v>80</v>
      </c>
    </row>
    <row r="29" customFormat="false" ht="15" hidden="false" customHeight="false" outlineLevel="0" collapsed="false">
      <c r="A29" s="2" t="n">
        <v>28</v>
      </c>
      <c r="B29" s="2" t="s">
        <v>81</v>
      </c>
      <c r="C29" s="3" t="s">
        <v>82</v>
      </c>
      <c r="D29" s="4" t="n">
        <v>1</v>
      </c>
      <c r="E29" s="4" t="s">
        <v>13</v>
      </c>
      <c r="F29" s="5" t="s">
        <v>14</v>
      </c>
      <c r="G29" s="6"/>
      <c r="H29" s="6"/>
      <c r="I29" s="7" t="n">
        <v>0</v>
      </c>
      <c r="J29" s="7" t="n">
        <v>0</v>
      </c>
      <c r="K29" s="8" t="s">
        <v>80</v>
      </c>
    </row>
    <row r="30" customFormat="false" ht="15" hidden="false" customHeight="false" outlineLevel="0" collapsed="false">
      <c r="A30" s="2" t="n">
        <v>29</v>
      </c>
      <c r="B30" s="2" t="s">
        <v>81</v>
      </c>
      <c r="C30" s="3" t="s">
        <v>83</v>
      </c>
      <c r="D30" s="4" t="n">
        <v>1</v>
      </c>
      <c r="E30" s="4" t="s">
        <v>13</v>
      </c>
      <c r="F30" s="5" t="s">
        <v>14</v>
      </c>
      <c r="G30" s="6"/>
      <c r="H30" s="6"/>
      <c r="I30" s="7" t="n">
        <v>0</v>
      </c>
      <c r="J30" s="7" t="n">
        <v>0</v>
      </c>
      <c r="K30" s="8" t="s">
        <v>80</v>
      </c>
    </row>
    <row r="31" customFormat="false" ht="15" hidden="false" customHeight="false" outlineLevel="0" collapsed="false">
      <c r="A31" s="2" t="n">
        <v>30</v>
      </c>
      <c r="B31" s="2" t="s">
        <v>81</v>
      </c>
      <c r="C31" s="3" t="s">
        <v>84</v>
      </c>
      <c r="D31" s="4" t="n">
        <v>1</v>
      </c>
      <c r="E31" s="4" t="s">
        <v>32</v>
      </c>
      <c r="F31" s="5" t="s">
        <v>14</v>
      </c>
      <c r="G31" s="6"/>
      <c r="H31" s="6"/>
      <c r="I31" s="7" t="n">
        <v>1</v>
      </c>
      <c r="J31" s="7" t="n">
        <v>1</v>
      </c>
      <c r="K31" s="8" t="s">
        <v>85</v>
      </c>
    </row>
    <row r="32" customFormat="false" ht="15" hidden="false" customHeight="false" outlineLevel="0" collapsed="false">
      <c r="A32" s="2" t="n">
        <v>31</v>
      </c>
      <c r="B32" s="2" t="s">
        <v>81</v>
      </c>
      <c r="C32" s="3" t="s">
        <v>86</v>
      </c>
      <c r="D32" s="4" t="n">
        <v>1</v>
      </c>
      <c r="E32" s="4" t="s">
        <v>32</v>
      </c>
      <c r="F32" s="5" t="s">
        <v>14</v>
      </c>
      <c r="G32" s="6"/>
      <c r="H32" s="6"/>
      <c r="I32" s="7" t="n">
        <v>1</v>
      </c>
      <c r="J32" s="7" t="n">
        <v>1</v>
      </c>
      <c r="K32" s="8" t="s">
        <v>85</v>
      </c>
    </row>
    <row r="33" customFormat="false" ht="15" hidden="false" customHeight="false" outlineLevel="0" collapsed="false">
      <c r="A33" s="2" t="n">
        <v>32</v>
      </c>
      <c r="B33" s="2" t="s">
        <v>81</v>
      </c>
      <c r="C33" s="3" t="s">
        <v>87</v>
      </c>
      <c r="D33" s="4" t="n">
        <v>1</v>
      </c>
      <c r="E33" s="4" t="s">
        <v>17</v>
      </c>
      <c r="F33" s="5" t="s">
        <v>88</v>
      </c>
      <c r="G33" s="6" t="n">
        <v>4</v>
      </c>
      <c r="H33" s="6" t="s">
        <v>36</v>
      </c>
      <c r="I33" s="7" t="n">
        <v>1</v>
      </c>
      <c r="J33" s="7" t="n">
        <v>1</v>
      </c>
      <c r="K33" s="8" t="s">
        <v>89</v>
      </c>
    </row>
    <row r="34" customFormat="false" ht="15" hidden="false" customHeight="false" outlineLevel="0" collapsed="false">
      <c r="A34" s="2" t="n">
        <v>33</v>
      </c>
      <c r="B34" s="2" t="s">
        <v>81</v>
      </c>
      <c r="C34" s="3" t="s">
        <v>90</v>
      </c>
      <c r="D34" s="4" t="n">
        <v>1</v>
      </c>
      <c r="E34" s="4" t="s">
        <v>17</v>
      </c>
      <c r="F34" s="5" t="s">
        <v>22</v>
      </c>
      <c r="G34" s="6"/>
      <c r="H34" s="6"/>
      <c r="I34" s="7" t="n">
        <v>1</v>
      </c>
      <c r="J34" s="7" t="n">
        <v>1</v>
      </c>
      <c r="K34" s="8"/>
    </row>
    <row r="35" customFormat="false" ht="15" hidden="false" customHeight="false" outlineLevel="0" collapsed="false">
      <c r="A35" s="2" t="n">
        <v>34</v>
      </c>
      <c r="B35" s="2" t="s">
        <v>81</v>
      </c>
      <c r="C35" s="3" t="s">
        <v>91</v>
      </c>
      <c r="D35" s="4" t="n">
        <v>1</v>
      </c>
      <c r="E35" s="4" t="s">
        <v>17</v>
      </c>
      <c r="F35" s="5" t="s">
        <v>22</v>
      </c>
      <c r="G35" s="6"/>
      <c r="H35" s="6"/>
      <c r="I35" s="7" t="n">
        <v>1</v>
      </c>
      <c r="J35" s="7" t="n">
        <v>1</v>
      </c>
      <c r="K35" s="8"/>
    </row>
    <row r="36" customFormat="false" ht="15" hidden="false" customHeight="false" outlineLevel="0" collapsed="false">
      <c r="A36" s="2" t="n">
        <v>35</v>
      </c>
      <c r="B36" s="2" t="s">
        <v>81</v>
      </c>
      <c r="C36" s="3" t="s">
        <v>92</v>
      </c>
      <c r="D36" s="4" t="n">
        <v>1</v>
      </c>
      <c r="E36" s="4" t="s">
        <v>17</v>
      </c>
      <c r="F36" s="5" t="s">
        <v>93</v>
      </c>
      <c r="G36" s="6" t="n">
        <v>1</v>
      </c>
      <c r="H36" s="6" t="s">
        <v>36</v>
      </c>
      <c r="I36" s="7" t="n">
        <v>1</v>
      </c>
      <c r="J36" s="7" t="n">
        <v>1</v>
      </c>
      <c r="K36" s="8" t="s">
        <v>37</v>
      </c>
    </row>
    <row r="37" customFormat="false" ht="15" hidden="false" customHeight="false" outlineLevel="0" collapsed="false">
      <c r="A37" s="2" t="n">
        <v>36</v>
      </c>
      <c r="B37" s="2" t="s">
        <v>81</v>
      </c>
      <c r="C37" s="3" t="s">
        <v>94</v>
      </c>
      <c r="D37" s="4" t="n">
        <v>1</v>
      </c>
      <c r="E37" s="4" t="s">
        <v>17</v>
      </c>
      <c r="F37" s="5" t="s">
        <v>95</v>
      </c>
      <c r="G37" s="6" t="n">
        <v>2</v>
      </c>
      <c r="H37" s="6" t="s">
        <v>36</v>
      </c>
      <c r="I37" s="7" t="n">
        <v>1</v>
      </c>
      <c r="J37" s="7" t="n">
        <v>1</v>
      </c>
      <c r="K37" s="8" t="s">
        <v>37</v>
      </c>
    </row>
    <row r="38" customFormat="false" ht="15" hidden="false" customHeight="false" outlineLevel="0" collapsed="false">
      <c r="A38" s="2" t="n">
        <v>37</v>
      </c>
      <c r="B38" s="2" t="s">
        <v>81</v>
      </c>
      <c r="C38" s="3" t="s">
        <v>96</v>
      </c>
      <c r="D38" s="4" t="n">
        <v>1</v>
      </c>
      <c r="E38" s="4" t="s">
        <v>17</v>
      </c>
      <c r="F38" s="5" t="s">
        <v>22</v>
      </c>
      <c r="G38" s="6"/>
      <c r="H38" s="6"/>
      <c r="I38" s="7" t="n">
        <v>1</v>
      </c>
      <c r="J38" s="7" t="n">
        <v>1</v>
      </c>
      <c r="K38" s="8"/>
    </row>
    <row r="39" customFormat="false" ht="23.85" hidden="false" customHeight="false" outlineLevel="0" collapsed="false">
      <c r="A39" s="2" t="n">
        <v>38</v>
      </c>
      <c r="B39" s="2" t="s">
        <v>81</v>
      </c>
      <c r="C39" s="3" t="s">
        <v>97</v>
      </c>
      <c r="D39" s="4" t="n">
        <v>3</v>
      </c>
      <c r="E39" s="4" t="s">
        <v>17</v>
      </c>
      <c r="F39" s="5" t="s">
        <v>98</v>
      </c>
      <c r="G39" s="6" t="n">
        <v>3</v>
      </c>
      <c r="H39" s="6" t="s">
        <v>36</v>
      </c>
      <c r="I39" s="7" t="n">
        <v>2</v>
      </c>
      <c r="J39" s="7" t="n">
        <v>2</v>
      </c>
      <c r="K39" s="8" t="s">
        <v>99</v>
      </c>
    </row>
    <row r="40" customFormat="false" ht="23.85" hidden="false" customHeight="false" outlineLevel="0" collapsed="false">
      <c r="A40" s="2" t="n">
        <v>39</v>
      </c>
      <c r="B40" s="2" t="s">
        <v>81</v>
      </c>
      <c r="C40" s="3" t="s">
        <v>100</v>
      </c>
      <c r="D40" s="4" t="n">
        <v>3</v>
      </c>
      <c r="E40" s="4" t="s">
        <v>17</v>
      </c>
      <c r="F40" s="5" t="s">
        <v>101</v>
      </c>
      <c r="G40" s="6" t="n">
        <v>2</v>
      </c>
      <c r="H40" s="6" t="s">
        <v>36</v>
      </c>
      <c r="I40" s="7" t="n">
        <v>2</v>
      </c>
      <c r="J40" s="7" t="n">
        <v>2</v>
      </c>
      <c r="K40" s="8" t="s">
        <v>102</v>
      </c>
    </row>
    <row r="41" customFormat="false" ht="15" hidden="false" customHeight="false" outlineLevel="0" collapsed="false">
      <c r="A41" s="2" t="n">
        <v>40</v>
      </c>
      <c r="B41" s="2" t="s">
        <v>81</v>
      </c>
      <c r="C41" s="3" t="s">
        <v>103</v>
      </c>
      <c r="D41" s="4" t="n">
        <v>1</v>
      </c>
      <c r="E41" s="4" t="s">
        <v>17</v>
      </c>
      <c r="F41" s="5" t="s">
        <v>104</v>
      </c>
      <c r="G41" s="6" t="n">
        <v>1</v>
      </c>
      <c r="H41" s="6" t="s">
        <v>36</v>
      </c>
      <c r="I41" s="7" t="n">
        <v>1</v>
      </c>
      <c r="J41" s="7" t="n">
        <v>1</v>
      </c>
      <c r="K41" s="8" t="s">
        <v>37</v>
      </c>
    </row>
    <row r="42" customFormat="false" ht="15" hidden="false" customHeight="false" outlineLevel="0" collapsed="false">
      <c r="A42" s="2" t="n">
        <v>41</v>
      </c>
      <c r="B42" s="2" t="s">
        <v>81</v>
      </c>
      <c r="C42" s="3" t="s">
        <v>105</v>
      </c>
      <c r="D42" s="4" t="n">
        <v>1</v>
      </c>
      <c r="E42" s="4" t="s">
        <v>13</v>
      </c>
      <c r="F42" s="5" t="s">
        <v>14</v>
      </c>
      <c r="G42" s="6"/>
      <c r="H42" s="6"/>
      <c r="I42" s="7" t="n">
        <v>0</v>
      </c>
      <c r="J42" s="7" t="n">
        <v>0</v>
      </c>
      <c r="K42" s="8" t="s">
        <v>106</v>
      </c>
    </row>
    <row r="43" customFormat="false" ht="23.85" hidden="false" customHeight="false" outlineLevel="0" collapsed="false">
      <c r="A43" s="2" t="n">
        <v>42</v>
      </c>
      <c r="B43" s="2" t="s">
        <v>107</v>
      </c>
      <c r="C43" s="3" t="s">
        <v>108</v>
      </c>
      <c r="D43" s="4" t="n">
        <v>5</v>
      </c>
      <c r="E43" s="4" t="s">
        <v>13</v>
      </c>
      <c r="F43" s="5" t="s">
        <v>109</v>
      </c>
      <c r="G43" s="6" t="n">
        <v>1</v>
      </c>
      <c r="H43" s="6" t="s">
        <v>36</v>
      </c>
      <c r="I43" s="7" t="n">
        <v>0</v>
      </c>
      <c r="J43" s="7" t="n">
        <v>0</v>
      </c>
      <c r="K43" s="8" t="s">
        <v>110</v>
      </c>
    </row>
    <row r="44" customFormat="false" ht="35.05" hidden="false" customHeight="false" outlineLevel="0" collapsed="false">
      <c r="C44" s="9" t="s">
        <v>111</v>
      </c>
      <c r="D44" s="10" t="n">
        <f aca="false">SUM(D2:D43)</f>
        <v>94</v>
      </c>
      <c r="G44" s="10" t="n">
        <f aca="false">SUM(G2:G43)</f>
        <v>62</v>
      </c>
      <c r="I44" s="10" t="n">
        <f aca="false">SUM(I2:I43)</f>
        <v>57</v>
      </c>
      <c r="J44" s="10" t="n">
        <f aca="false">SUM(J2:J43)</f>
        <v>72</v>
      </c>
      <c r="K44" s="11" t="s">
        <v>112</v>
      </c>
    </row>
    <row r="45" customFormat="false" ht="35.05" hidden="false" customHeight="false" outlineLevel="0" collapsed="false">
      <c r="C45" s="9" t="s">
        <v>113</v>
      </c>
      <c r="D45" s="9" t="n">
        <f aca="false">COUNTA(C2:C43)</f>
        <v>42</v>
      </c>
      <c r="G45" s="9" t="n">
        <f aca="false">COUNT(G2:G43)</f>
        <v>21</v>
      </c>
      <c r="K45" s="11" t="s">
        <v>114</v>
      </c>
    </row>
  </sheetData>
  <autoFilter ref="A1:K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12"/>
  </cols>
  <sheetData>
    <row r="1" customFormat="false" ht="35.05" hidden="false" customHeight="false" outlineLevel="0" collapsed="false">
      <c r="A1" s="11" t="s">
        <v>115</v>
      </c>
      <c r="B1" s="11" t="s">
        <v>116</v>
      </c>
      <c r="C1" s="11"/>
    </row>
    <row r="2" customFormat="false" ht="15" hidden="false" customHeight="false" outlineLevel="0" collapsed="false">
      <c r="A2" s="11" t="s">
        <v>117</v>
      </c>
      <c r="B2" s="11" t="s">
        <v>118</v>
      </c>
      <c r="C2" s="11"/>
    </row>
    <row r="3" customFormat="false" ht="23.85" hidden="false" customHeight="false" outlineLevel="0" collapsed="false">
      <c r="A3" s="11" t="s">
        <v>119</v>
      </c>
      <c r="B3" s="11" t="s">
        <v>120</v>
      </c>
      <c r="C3" s="11"/>
    </row>
    <row r="4" customFormat="false" ht="15" hidden="false" customHeight="false" outlineLevel="0" collapsed="false">
      <c r="A4" s="11" t="s">
        <v>121</v>
      </c>
      <c r="B4" s="11" t="s">
        <v>122</v>
      </c>
      <c r="C4" s="11"/>
    </row>
    <row r="5" customFormat="false" ht="15" hidden="false" customHeight="false" outlineLevel="0" collapsed="false">
      <c r="A5" s="11" t="s">
        <v>123</v>
      </c>
      <c r="B5" s="11" t="s">
        <v>124</v>
      </c>
      <c r="C5" s="11"/>
    </row>
    <row r="6" customFormat="false" ht="23.85" hidden="false" customHeight="false" outlineLevel="0" collapsed="false">
      <c r="A6" s="11" t="s">
        <v>125</v>
      </c>
      <c r="B6" s="11" t="s">
        <v>126</v>
      </c>
      <c r="C6" s="11"/>
    </row>
    <row r="7" customFormat="false" ht="15" hidden="false" customHeight="false" outlineLevel="0" collapsed="false">
      <c r="A7" s="11" t="s">
        <v>127</v>
      </c>
      <c r="B7" s="11" t="s">
        <v>128</v>
      </c>
      <c r="C7" s="11"/>
    </row>
    <row r="8" customFormat="false" ht="180.55" hidden="false" customHeight="false" outlineLevel="0" collapsed="false">
      <c r="A8" s="11" t="s">
        <v>129</v>
      </c>
      <c r="B8" s="11" t="s">
        <v>130</v>
      </c>
      <c r="C8" s="11"/>
    </row>
    <row r="9" customFormat="false" ht="15" hidden="false" customHeight="false" outlineLevel="0" collapsed="false">
      <c r="A9" s="11"/>
      <c r="B9" s="11"/>
      <c r="C9" s="11"/>
    </row>
    <row r="10" customFormat="false" ht="15" hidden="false" customHeight="false" outlineLevel="0" collapsed="false">
      <c r="A10" s="12" t="s">
        <v>131</v>
      </c>
      <c r="B10" s="12" t="s">
        <v>132</v>
      </c>
      <c r="C10" s="12" t="s">
        <v>133</v>
      </c>
    </row>
    <row r="11" customFormat="false" ht="15" hidden="false" customHeight="false" outlineLevel="0" collapsed="false">
      <c r="A11" s="11" t="s">
        <v>134</v>
      </c>
      <c r="B11" s="11" t="n">
        <v>10</v>
      </c>
      <c r="C11" s="11" t="s">
        <v>19</v>
      </c>
    </row>
    <row r="12" customFormat="false" ht="15" hidden="false" customHeight="false" outlineLevel="0" collapsed="false">
      <c r="A12" s="11" t="s">
        <v>25</v>
      </c>
      <c r="B12" s="11" t="n">
        <v>4</v>
      </c>
      <c r="C12" s="11" t="s">
        <v>19</v>
      </c>
    </row>
    <row r="13" customFormat="false" ht="15" hidden="false" customHeight="false" outlineLevel="0" collapsed="false">
      <c r="A13" s="11" t="s">
        <v>135</v>
      </c>
      <c r="B13" s="11" t="n">
        <v>4</v>
      </c>
      <c r="C13" s="11" t="s">
        <v>36</v>
      </c>
    </row>
    <row r="14" customFormat="false" ht="15" hidden="false" customHeight="false" outlineLevel="0" collapsed="false">
      <c r="A14" s="11" t="s">
        <v>58</v>
      </c>
      <c r="B14" s="11" t="n">
        <v>3</v>
      </c>
      <c r="C14" s="11" t="s">
        <v>36</v>
      </c>
    </row>
    <row r="15" customFormat="false" ht="15" hidden="false" customHeight="false" outlineLevel="0" collapsed="false">
      <c r="A15" s="11" t="s">
        <v>35</v>
      </c>
      <c r="B15" s="11" t="n">
        <v>1</v>
      </c>
      <c r="C15" s="11" t="s">
        <v>36</v>
      </c>
    </row>
    <row r="16" customFormat="false" ht="15" hidden="false" customHeight="false" outlineLevel="0" collapsed="false">
      <c r="A16" s="11" t="s">
        <v>39</v>
      </c>
      <c r="B16" s="11" t="n">
        <v>1</v>
      </c>
      <c r="C16" s="11" t="s">
        <v>36</v>
      </c>
    </row>
    <row r="17" customFormat="false" ht="15" hidden="false" customHeight="false" outlineLevel="0" collapsed="false">
      <c r="A17" s="11" t="s">
        <v>41</v>
      </c>
      <c r="B17" s="11" t="n">
        <v>1</v>
      </c>
      <c r="C17" s="11" t="s">
        <v>36</v>
      </c>
    </row>
    <row r="18" customFormat="false" ht="15" hidden="false" customHeight="false" outlineLevel="0" collapsed="false">
      <c r="A18" s="11" t="s">
        <v>44</v>
      </c>
      <c r="B18" s="11" t="n">
        <v>1</v>
      </c>
      <c r="C18" s="11" t="s">
        <v>36</v>
      </c>
    </row>
    <row r="19" customFormat="false" ht="15" hidden="false" customHeight="false" outlineLevel="0" collapsed="false">
      <c r="A19" s="11" t="s">
        <v>46</v>
      </c>
      <c r="B19" s="11" t="n">
        <v>1</v>
      </c>
      <c r="C19" s="11" t="s">
        <v>36</v>
      </c>
    </row>
    <row r="20" customFormat="false" ht="15" hidden="false" customHeight="false" outlineLevel="0" collapsed="false">
      <c r="A20" s="11" t="s">
        <v>136</v>
      </c>
      <c r="B20" s="11" t="n">
        <v>4</v>
      </c>
      <c r="C20" s="11" t="s">
        <v>50</v>
      </c>
    </row>
    <row r="21" customFormat="false" ht="15" hidden="false" customHeight="false" outlineLevel="0" collapsed="false">
      <c r="A21" s="11" t="s">
        <v>137</v>
      </c>
      <c r="B21" s="11" t="n">
        <v>9</v>
      </c>
      <c r="C21" s="11" t="s">
        <v>19</v>
      </c>
    </row>
    <row r="22" customFormat="false" ht="15" hidden="false" customHeight="false" outlineLevel="0" collapsed="false">
      <c r="A22" s="11" t="s">
        <v>77</v>
      </c>
      <c r="B22" s="11" t="n">
        <v>2</v>
      </c>
      <c r="C22" s="11" t="s">
        <v>36</v>
      </c>
    </row>
    <row r="23" customFormat="false" ht="15" hidden="false" customHeight="false" outlineLevel="0" collapsed="false">
      <c r="A23" s="11" t="s">
        <v>62</v>
      </c>
      <c r="B23" s="11" t="n">
        <v>2</v>
      </c>
      <c r="C23" s="11" t="s">
        <v>19</v>
      </c>
    </row>
    <row r="24" customFormat="false" ht="15" hidden="false" customHeight="false" outlineLevel="0" collapsed="false">
      <c r="A24" s="11" t="s">
        <v>138</v>
      </c>
      <c r="B24" s="11" t="n">
        <v>5</v>
      </c>
      <c r="C24" s="11" t="s">
        <v>19</v>
      </c>
    </row>
    <row r="25" customFormat="false" ht="15" hidden="false" customHeight="false" outlineLevel="0" collapsed="false">
      <c r="A25" s="11" t="s">
        <v>139</v>
      </c>
      <c r="B25" s="11" t="n">
        <v>4</v>
      </c>
      <c r="C25" s="11" t="s">
        <v>36</v>
      </c>
    </row>
    <row r="26" customFormat="false" ht="15" hidden="false" customHeight="false" outlineLevel="0" collapsed="false">
      <c r="A26" s="11" t="s">
        <v>93</v>
      </c>
      <c r="B26" s="11" t="n">
        <v>1</v>
      </c>
      <c r="C26" s="11" t="s">
        <v>36</v>
      </c>
    </row>
    <row r="27" customFormat="false" ht="15" hidden="false" customHeight="false" outlineLevel="0" collapsed="false">
      <c r="A27" s="11" t="s">
        <v>140</v>
      </c>
      <c r="B27" s="11" t="n">
        <v>2</v>
      </c>
      <c r="C27" s="11" t="s">
        <v>36</v>
      </c>
    </row>
    <row r="28" customFormat="false" ht="15" hidden="false" customHeight="false" outlineLevel="0" collapsed="false">
      <c r="A28" s="11" t="s">
        <v>141</v>
      </c>
      <c r="B28" s="11" t="n">
        <v>2</v>
      </c>
      <c r="C28" s="11" t="s">
        <v>36</v>
      </c>
    </row>
    <row r="29" customFormat="false" ht="15" hidden="false" customHeight="false" outlineLevel="0" collapsed="false">
      <c r="A29" s="11" t="s">
        <v>142</v>
      </c>
      <c r="B29" s="11" t="n">
        <v>1</v>
      </c>
      <c r="C29" s="11" t="s">
        <v>36</v>
      </c>
    </row>
    <row r="30" customFormat="false" ht="15" hidden="false" customHeight="false" outlineLevel="0" collapsed="false">
      <c r="A30" s="11" t="s">
        <v>143</v>
      </c>
      <c r="B30" s="11" t="n">
        <v>1</v>
      </c>
      <c r="C30" s="11" t="s">
        <v>36</v>
      </c>
    </row>
    <row r="31" customFormat="false" ht="15" hidden="false" customHeight="false" outlineLevel="0" collapsed="false">
      <c r="A31" s="11" t="s">
        <v>144</v>
      </c>
      <c r="B31" s="11" t="n">
        <v>1</v>
      </c>
      <c r="C31" s="11" t="s">
        <v>36</v>
      </c>
    </row>
    <row r="32" customFormat="false" ht="15" hidden="false" customHeight="false" outlineLevel="0" collapsed="false">
      <c r="A32" s="11" t="s">
        <v>104</v>
      </c>
      <c r="B32" s="11" t="n">
        <v>1</v>
      </c>
      <c r="C32" s="11" t="s">
        <v>36</v>
      </c>
    </row>
    <row r="33" customFormat="false" ht="15" hidden="false" customHeight="false" outlineLevel="0" collapsed="false">
      <c r="A33" s="11" t="s">
        <v>145</v>
      </c>
      <c r="B33" s="11" t="n">
        <v>1</v>
      </c>
      <c r="C33" s="11" t="s">
        <v>36</v>
      </c>
    </row>
    <row r="34" customFormat="false" ht="15" hidden="false" customHeight="false" outlineLevel="0" collapsed="false">
      <c r="A34" s="11" t="s">
        <v>146</v>
      </c>
      <c r="B34" s="11" t="n">
        <f aca="false">SUM(B11:B33)</f>
        <v>62</v>
      </c>
      <c r="C34" s="11"/>
    </row>
    <row r="35" customFormat="false" ht="15" hidden="false" customHeight="false" outlineLevel="0" collapsed="false">
      <c r="A35" s="11" t="s">
        <v>147</v>
      </c>
      <c r="B35" s="11" t="n">
        <f aca="false">COUNTA(A11:A33)</f>
        <v>23</v>
      </c>
      <c r="C35" s="11"/>
    </row>
    <row r="36" customFormat="false" ht="15" hidden="false" customHeight="false" outlineLevel="0" collapsed="false">
      <c r="A36" s="11"/>
      <c r="B36" s="11"/>
      <c r="C36" s="11"/>
    </row>
    <row r="37" customFormat="false" ht="15" hidden="false" customHeight="false" outlineLevel="0" collapsed="false">
      <c r="A37" s="11" t="s">
        <v>148</v>
      </c>
      <c r="B37" s="11"/>
      <c r="C37" s="11"/>
    </row>
    <row r="38" customFormat="false" ht="23.85" hidden="false" customHeight="false" outlineLevel="0" collapsed="false">
      <c r="A38" s="11" t="s">
        <v>149</v>
      </c>
      <c r="B38" s="11"/>
      <c r="C38" s="11"/>
    </row>
    <row r="39" customFormat="false" ht="35.05" hidden="false" customHeight="false" outlineLevel="0" collapsed="false">
      <c r="A39" s="11" t="s">
        <v>150</v>
      </c>
      <c r="B39" s="11"/>
      <c r="C39" s="11"/>
    </row>
    <row r="40" customFormat="false" ht="23.85" hidden="false" customHeight="false" outlineLevel="0" collapsed="false">
      <c r="A40" s="11" t="s">
        <v>151</v>
      </c>
      <c r="B40" s="11"/>
      <c r="C40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23.85" hidden="false" customHeight="false" outlineLevel="0" collapsed="false">
      <c r="A1" s="11" t="s">
        <v>152</v>
      </c>
    </row>
    <row r="2" customFormat="false" ht="15" hidden="false" customHeight="false" outlineLevel="0" collapsed="false">
      <c r="A2" s="11" t="s">
        <v>153</v>
      </c>
    </row>
    <row r="3" customFormat="false" ht="15" hidden="false" customHeight="false" outlineLevel="0" collapsed="false">
      <c r="A3" s="11" t="s">
        <v>154</v>
      </c>
    </row>
    <row r="4" customFormat="false" ht="23.85" hidden="false" customHeight="false" outlineLevel="0" collapsed="false">
      <c r="A4" s="11" t="s">
        <v>155</v>
      </c>
    </row>
    <row r="5" customFormat="false" ht="15" hidden="false" customHeight="false" outlineLevel="0" collapsed="false">
      <c r="A5" s="11" t="s">
        <v>156</v>
      </c>
    </row>
    <row r="6" customFormat="false" ht="15" hidden="false" customHeight="false" outlineLevel="0" collapsed="false">
      <c r="A6" s="11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2026-09-08T17:45:08Z</dcterms:created>
  <dc:creator>openpyxl</dc:creator>
  <dc:description/>
  <dc:language>en-US</dc:language>
  <cp:lastModifiedBy/>
  <dcterms:modified xsi:type="dcterms:W3CDTF">2026-09-08T17:45:08Z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